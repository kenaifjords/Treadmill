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3ab2cc4ec646a75/Documents/GitHub/Treadmill/"/>
    </mc:Choice>
  </mc:AlternateContent>
  <xr:revisionPtr revIDLastSave="3" documentId="13_ncr:1_{033314CD-06CF-40D5-B58D-2B4B3135AA80}" xr6:coauthVersionLast="47" xr6:coauthVersionMax="47" xr10:uidLastSave="{817F4F4C-8A5B-4790-BB7A-56B44440D307}"/>
  <bookViews>
    <workbookView xWindow="14400" yWindow="0" windowWidth="14400" windowHeight="15600" xr2:uid="{DB461667-9DE4-470E-A3E5-C407E91C92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G4" i="1"/>
  <c r="E4" i="1"/>
  <c r="G7" i="1"/>
  <c r="E7" i="1"/>
  <c r="I5" i="1"/>
  <c r="H5" i="1"/>
  <c r="G5" i="1"/>
  <c r="F5" i="1"/>
  <c r="E5" i="1"/>
  <c r="I3" i="1"/>
  <c r="E3" i="1"/>
  <c r="D5" i="1"/>
  <c r="H3" i="1"/>
  <c r="D3" i="1"/>
  <c r="F3" i="1"/>
</calcChain>
</file>

<file path=xl/sharedStrings.xml><?xml version="1.0" encoding="utf-8"?>
<sst xmlns="http://schemas.openxmlformats.org/spreadsheetml/2006/main" count="48" uniqueCount="47">
  <si>
    <t>power analysis for split-belt treadmill</t>
  </si>
  <si>
    <t>Paper</t>
  </si>
  <si>
    <t>Authors</t>
  </si>
  <si>
    <t>Metric</t>
  </si>
  <si>
    <t>mean of effect group 1</t>
  </si>
  <si>
    <t>mean of control group2</t>
  </si>
  <si>
    <t>notes</t>
  </si>
  <si>
    <t>large propulsion demands increase locomotor adaptation at the expense of step length symmetry</t>
  </si>
  <si>
    <t>Sombric, Calvert, Torres-Oviedo</t>
  </si>
  <si>
    <t>late adaptation SLA</t>
  </si>
  <si>
    <t>learning rate (reported as time constant of exponential function in figure caption 2)</t>
  </si>
  <si>
    <t>mean of effect group 2 (as needed)</t>
  </si>
  <si>
    <t>sample size (alpha = 0.05 and 0.9 confidence level (1.65) / 0.95 (1.96) or 0.99 (2.58) for an normal distrubution) using G*Power program</t>
  </si>
  <si>
    <t>sample size for ANOVA</t>
  </si>
  <si>
    <t>based on lines in adobe illustrator from bar plots in paper</t>
  </si>
  <si>
    <t>effect size (cohens d for ttest via GPOwer)</t>
  </si>
  <si>
    <t>effect size (omega^2 for ANOVA via GPOWER)</t>
  </si>
  <si>
    <t>creating flexible motor memories in human walking</t>
  </si>
  <si>
    <t>Leech, Roemmich, Bastian</t>
  </si>
  <si>
    <t>plateau adaptation in experiment 1 (size of belt ratio)</t>
  </si>
  <si>
    <t>std dev</t>
  </si>
  <si>
    <t>std dev of control group</t>
  </si>
  <si>
    <t>6 per</t>
  </si>
  <si>
    <t>60 per</t>
  </si>
  <si>
    <t>240 total for 3 groups</t>
  </si>
  <si>
    <t>totally a visual estimation of plateau - not explicitly reported even in a plot</t>
  </si>
  <si>
    <t>thinking about walking: effects of concious correction versus distraction on locomotor adaptation</t>
  </si>
  <si>
    <t>Malone and Bastian</t>
  </si>
  <si>
    <t>strides to plateau (estimated for correction, distraction, and control)</t>
  </si>
  <si>
    <t>est (for all 3) = 50</t>
  </si>
  <si>
    <t>12 - 17 per</t>
  </si>
  <si>
    <t>18 total</t>
  </si>
  <si>
    <t>Using asymmetry to your advantage: learning to acquire and accept external assistance during prolonged split-belt walking</t>
  </si>
  <si>
    <t>Sanchez, Simha, Donelan, Finley</t>
  </si>
  <si>
    <t>exponential fit learning rate during WASHOUT after 15 or 45 minutes (reported values are bootstrapped)</t>
  </si>
  <si>
    <t>9 per</t>
  </si>
  <si>
    <t>NA</t>
  </si>
  <si>
    <t>compared washout rate after 45 min (effect grp 1) and after 15 minute (effect group 2), 95% CI converted to SE by SE = (upper limit – lower limit) / 3.92</t>
  </si>
  <si>
    <t># subj in each group</t>
  </si>
  <si>
    <t>9 total for 3 groups</t>
  </si>
  <si>
    <t>6 total for 3 groups</t>
  </si>
  <si>
    <t>150 per</t>
  </si>
  <si>
    <t>compared incline (effect grp 1) to control (flat), 95% CI converted to SE by SE = (upper limit – lower limit) / 3.92.  since the 132 for the control is very close to the 135.6 for the incline group, the effect size is small when the decline group is not included</t>
  </si>
  <si>
    <t>estinated from barplots in illustrator, very similar plateau values, so small effect size</t>
  </si>
  <si>
    <t>General - for ANOVA with 0.9 power and 0.05 significance and 0.5 effect size, we need 54 total subjects (18 per group)</t>
  </si>
  <si>
    <t>stenum and choi</t>
  </si>
  <si>
    <t>Stenum and choi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</si>
</sst>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018C4-79F3-4BDF-B230-C4603E087834}">
  <dimension ref="A1:O24"/>
  <sheetViews>
    <sheetView tabSelected="1" topLeftCell="A2" workbookViewId="0">
      <selection activeCell="A8" sqref="A8"/>
    </sheetView>
  </sheetViews>
  <sheetFormatPr defaultRowHeight="15" x14ac:dyDescent="0.25"/>
  <cols>
    <col min="1" max="1" width="27" style="1" customWidth="1"/>
    <col min="3" max="3" width="20.42578125" customWidth="1"/>
    <col min="4" max="4" width="14.42578125" customWidth="1"/>
    <col min="5" max="5" width="9.28515625" customWidth="1"/>
    <col min="6" max="6" width="9.7109375" customWidth="1"/>
    <col min="7" max="7" width="8.85546875" customWidth="1"/>
    <col min="8" max="8" width="11.28515625" customWidth="1"/>
    <col min="9" max="9" width="9.42578125" customWidth="1"/>
    <col min="10" max="10" width="11.85546875" customWidth="1"/>
    <col min="11" max="11" width="11.5703125" bestFit="1" customWidth="1"/>
    <col min="12" max="12" width="11.5703125" customWidth="1"/>
    <col min="13" max="13" width="31.5703125" customWidth="1"/>
    <col min="14" max="14" width="16.28515625" customWidth="1"/>
    <col min="15" max="15" width="60.42578125" customWidth="1"/>
  </cols>
  <sheetData>
    <row r="1" spans="1:15" ht="45" customHeight="1" x14ac:dyDescent="0.25">
      <c r="A1" s="3" t="s">
        <v>0</v>
      </c>
      <c r="B1" s="3"/>
      <c r="C1" s="3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5" ht="7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20</v>
      </c>
      <c r="F2" s="2" t="s">
        <v>11</v>
      </c>
      <c r="G2" s="2" t="s">
        <v>20</v>
      </c>
      <c r="H2" s="2" t="s">
        <v>5</v>
      </c>
      <c r="I2" s="2" t="s">
        <v>21</v>
      </c>
      <c r="J2" s="2" t="s">
        <v>38</v>
      </c>
      <c r="K2" s="2" t="s">
        <v>15</v>
      </c>
      <c r="L2" s="2" t="s">
        <v>16</v>
      </c>
      <c r="M2" s="2" t="s">
        <v>12</v>
      </c>
      <c r="N2" s="2" t="s">
        <v>13</v>
      </c>
      <c r="O2" s="2" t="s">
        <v>6</v>
      </c>
    </row>
    <row r="3" spans="1:15" ht="60" x14ac:dyDescent="0.25">
      <c r="A3" s="1" t="s">
        <v>7</v>
      </c>
      <c r="B3" s="1" t="s">
        <v>8</v>
      </c>
      <c r="C3" s="1" t="s">
        <v>9</v>
      </c>
      <c r="D3" s="1">
        <f xml:space="preserve"> 3.98*0.4/14.65</f>
        <v>0.10866894197952219</v>
      </c>
      <c r="E3" s="1">
        <f xml:space="preserve"> 1.54/2*0.4/14.65 * SQRT(J3)</f>
        <v>5.9464542963947223E-2</v>
      </c>
      <c r="F3" s="1">
        <f xml:space="preserve"> -7.82*0.4/14.65</f>
        <v>-0.21351535836177474</v>
      </c>
      <c r="G3" s="1"/>
      <c r="H3" s="1">
        <f xml:space="preserve"> -2.15*0.4/14.65</f>
        <v>-5.8703071672354945E-2</v>
      </c>
      <c r="I3" s="1">
        <f xml:space="preserve"> 2.26/2*0.4/14.65*SQRT(J3)</f>
        <v>8.7266147466571867E-2</v>
      </c>
      <c r="J3" s="1">
        <v>8</v>
      </c>
      <c r="K3" s="1">
        <v>6.3339999999999996</v>
      </c>
      <c r="L3" s="1">
        <v>0.105</v>
      </c>
      <c r="M3" s="1" t="s">
        <v>22</v>
      </c>
      <c r="N3" s="1" t="s">
        <v>40</v>
      </c>
      <c r="O3" s="1" t="s">
        <v>14</v>
      </c>
    </row>
    <row r="4" spans="1:15" ht="75" x14ac:dyDescent="0.25">
      <c r="B4" s="1"/>
      <c r="C4" s="1" t="s">
        <v>10</v>
      </c>
      <c r="D4" s="1">
        <v>132</v>
      </c>
      <c r="E4" s="1">
        <f>(138.8-125.6)/3.94 *SQRT(J4)</f>
        <v>9.4759487428045066</v>
      </c>
      <c r="F4" s="1">
        <v>91.3</v>
      </c>
      <c r="G4" s="1">
        <f>(97.9 - 84.7)/3.94 *SQRT(J4)</f>
        <v>9.4759487428044977</v>
      </c>
      <c r="H4" s="1">
        <v>135.6</v>
      </c>
      <c r="I4" s="1">
        <f>(142.2 - 128.8)/3.92 * SQRT(J4)</f>
        <v>9.6686029264282869</v>
      </c>
      <c r="J4" s="1">
        <v>8</v>
      </c>
      <c r="K4" s="1">
        <v>0.376</v>
      </c>
      <c r="L4" s="1">
        <v>2</v>
      </c>
      <c r="M4" s="1" t="s">
        <v>41</v>
      </c>
      <c r="N4" s="1" t="s">
        <v>39</v>
      </c>
      <c r="O4" s="1" t="s">
        <v>42</v>
      </c>
    </row>
    <row r="5" spans="1:15" ht="60" x14ac:dyDescent="0.25">
      <c r="A5" s="1" t="s">
        <v>17</v>
      </c>
      <c r="B5" s="1" t="s">
        <v>18</v>
      </c>
      <c r="C5" s="1" t="s">
        <v>19</v>
      </c>
      <c r="D5" s="1">
        <f>2.293 * 0.2/11.33</f>
        <v>4.0476610767872907E-2</v>
      </c>
      <c r="E5" s="1">
        <f>0.838 * 0.2/11.33 * SQRT(J5)</f>
        <v>5.9170344218887908E-2</v>
      </c>
      <c r="F5" s="1">
        <f>1.734 * 0.2/11.33</f>
        <v>3.0609002647837599E-2</v>
      </c>
      <c r="G5" s="1">
        <f>0.764 * 0.2/11.33*SQRT(J5)</f>
        <v>5.3945278022947935E-2</v>
      </c>
      <c r="H5" s="1">
        <f>0.382 * 0.2/11.33</f>
        <v>6.7431597528684918E-3</v>
      </c>
      <c r="I5" s="1">
        <f>0.764 * 0.2/11.33 *SQRT(J5)</f>
        <v>5.3945278022947935E-2</v>
      </c>
      <c r="J5" s="1">
        <v>16</v>
      </c>
      <c r="K5" s="1">
        <v>0.59699999999999998</v>
      </c>
      <c r="L5" s="1">
        <v>0.23200000000000001</v>
      </c>
      <c r="M5" s="1" t="s">
        <v>23</v>
      </c>
      <c r="N5" s="1" t="s">
        <v>24</v>
      </c>
      <c r="O5" s="1" t="s">
        <v>43</v>
      </c>
    </row>
    <row r="6" spans="1:15" ht="75" x14ac:dyDescent="0.25">
      <c r="A6" s="1" t="s">
        <v>26</v>
      </c>
      <c r="B6" s="1" t="s">
        <v>27</v>
      </c>
      <c r="C6" s="1" t="s">
        <v>28</v>
      </c>
      <c r="D6" s="1">
        <v>110</v>
      </c>
      <c r="E6" s="1" t="s">
        <v>29</v>
      </c>
      <c r="F6" s="1">
        <v>180</v>
      </c>
      <c r="G6" s="1"/>
      <c r="H6" s="1">
        <v>250</v>
      </c>
      <c r="I6" s="1"/>
      <c r="J6" s="1">
        <v>11</v>
      </c>
      <c r="K6" s="1">
        <v>1.167</v>
      </c>
      <c r="L6" s="1">
        <v>0.95199999999999996</v>
      </c>
      <c r="M6" s="1" t="s">
        <v>30</v>
      </c>
      <c r="N6" s="1" t="s">
        <v>31</v>
      </c>
      <c r="O6" s="1" t="s">
        <v>25</v>
      </c>
    </row>
    <row r="7" spans="1:15" ht="90" x14ac:dyDescent="0.25">
      <c r="A7" s="1" t="s">
        <v>32</v>
      </c>
      <c r="B7" s="1" t="s">
        <v>33</v>
      </c>
      <c r="C7" s="1" t="s">
        <v>34</v>
      </c>
      <c r="D7" s="1">
        <v>63</v>
      </c>
      <c r="E7" s="1">
        <f>(82-41)/3.92 * SQRT(8)</f>
        <v>29.583038804743317</v>
      </c>
      <c r="F7" s="1">
        <v>25</v>
      </c>
      <c r="G7" s="1">
        <f>(33-17)/3.92*SQRT(8)</f>
        <v>11.544600509168124</v>
      </c>
      <c r="H7" s="1"/>
      <c r="I7" s="1"/>
      <c r="J7" s="1">
        <v>8</v>
      </c>
      <c r="K7" s="1">
        <v>1.6919999999999999</v>
      </c>
      <c r="L7" s="1"/>
      <c r="M7" s="1" t="s">
        <v>35</v>
      </c>
      <c r="N7" s="1" t="s">
        <v>36</v>
      </c>
      <c r="O7" s="1" t="s">
        <v>37</v>
      </c>
    </row>
    <row r="8" spans="1:15" ht="30" x14ac:dyDescent="0.25">
      <c r="A8" s="1" t="s">
        <v>45</v>
      </c>
      <c r="B8" s="1" t="s">
        <v>46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x14ac:dyDescent="0.25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75" x14ac:dyDescent="0.25">
      <c r="A10" s="1" t="s">
        <v>44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2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25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2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2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x14ac:dyDescent="0.25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2:14" x14ac:dyDescent="0.2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2:14" x14ac:dyDescent="0.2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2:14" x14ac:dyDescent="0.2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2:14" x14ac:dyDescent="0.25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2:14" x14ac:dyDescent="0.2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2:14" x14ac:dyDescent="0.25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2:14" x14ac:dyDescent="0.2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2:14" x14ac:dyDescent="0.2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m</dc:creator>
  <cp:lastModifiedBy>rachel m</cp:lastModifiedBy>
  <dcterms:created xsi:type="dcterms:W3CDTF">2024-07-29T15:55:22Z</dcterms:created>
  <dcterms:modified xsi:type="dcterms:W3CDTF">2024-11-07T20:34:23Z</dcterms:modified>
</cp:coreProperties>
</file>